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cau\P12OC\"/>
    </mc:Choice>
  </mc:AlternateContent>
  <xr:revisionPtr revIDLastSave="0" documentId="13_ncr:1_{42D0EAB7-B4DC-49B2-86EB-CEFED613102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udget &amp; ROI" sheetId="1" r:id="rId1"/>
    <sheet name="CNIL" sheetId="2" r:id="rId2"/>
    <sheet name="Ris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8" i="3"/>
  <c r="D7" i="3"/>
  <c r="D6" i="3"/>
  <c r="E35" i="1"/>
  <c r="E34" i="1"/>
  <c r="E33" i="1"/>
  <c r="E32" i="1"/>
  <c r="E31" i="1"/>
  <c r="E36" i="1" s="1"/>
  <c r="E25" i="1"/>
  <c r="E24" i="1"/>
  <c r="E23" i="1"/>
  <c r="C22" i="1"/>
  <c r="C21" i="1"/>
  <c r="F11" i="1"/>
  <c r="F13" i="1" s="1"/>
  <c r="B21" i="1" s="1"/>
  <c r="E21" i="1" s="1"/>
  <c r="B48" i="1" l="1"/>
  <c r="C48" i="1"/>
  <c r="C49" i="1" s="1"/>
  <c r="B6" i="1"/>
  <c r="F12" i="1"/>
  <c r="B22" i="1" s="1"/>
  <c r="E22" i="1" s="1"/>
  <c r="E26" i="1" s="1"/>
  <c r="B5" i="1" s="1"/>
  <c r="B49" i="1" l="1"/>
  <c r="B7" i="1" s="1"/>
</calcChain>
</file>

<file path=xl/sharedStrings.xml><?xml version="1.0" encoding="utf-8"?>
<sst xmlns="http://schemas.openxmlformats.org/spreadsheetml/2006/main" count="132" uniqueCount="126">
  <si>
    <t>But : donner une vision claire (périmètre MVP, budget, rentabilité, conformité et risques) avec des mots simples.</t>
  </si>
  <si>
    <t>En résumé</t>
  </si>
  <si>
    <t>Investissement initial (one‑shot)</t>
  </si>
  <si>
    <t>Budget pour construire la première version.</t>
  </si>
  <si>
    <t>Coût mensuel après lancement (récurrent)</t>
  </si>
  <si>
    <t>Cloud + maintenance de base.</t>
  </si>
  <si>
    <t>Point mort (scénario optimiste)</t>
  </si>
  <si>
    <t>Nombre de mois pour “rembourser” l’investissement dans le scénario optimiste.</t>
  </si>
  <si>
    <t>1) Hypothèses de départ</t>
  </si>
  <si>
    <t>Paramètre</t>
  </si>
  <si>
    <t>Valeur</t>
  </si>
  <si>
    <t>Commentaire</t>
  </si>
  <si>
    <t>Calculs automatiques</t>
  </si>
  <si>
    <t>Durée d’un sprint (semaines)</t>
  </si>
  <si>
    <t>Sprint = période de travail (ici 2 semaines).</t>
  </si>
  <si>
    <t>Effort total (jours)</t>
  </si>
  <si>
    <t>Nombre de sprints pour le MVP</t>
  </si>
  <si>
    <t>MVP = 4 sprints ≈ 8 semaines.</t>
  </si>
  <si>
    <t>Jours PO/SM/QA</t>
  </si>
  <si>
    <t>Effort du MVP (points ≈ jours)</t>
  </si>
  <si>
    <t>Total MUST + SHOULD du backlog.</t>
  </si>
  <si>
    <t>Jours Dev/DS</t>
  </si>
  <si>
    <t>Marge d’aléas (buffer)</t>
  </si>
  <si>
    <t>On ajoute 15% pour imprévus.</t>
  </si>
  <si>
    <t>Coût journalier Dev/DS (TJM)</t>
  </si>
  <si>
    <t>TJM = coût moyen d’une journée.</t>
  </si>
  <si>
    <t>Coût journalier PO/SM/QA (TJM)</t>
  </si>
  <si>
    <t>Pilotage et tests.</t>
  </si>
  <si>
    <t>Part PO/SM/QA dans l’effort total</t>
  </si>
  <si>
    <t>On suppose 20% du temps.</t>
  </si>
  <si>
    <t>2) Budget pour construire le MVP (one‑shot)</t>
  </si>
  <si>
    <t>Poste</t>
  </si>
  <si>
    <t>Jours</t>
  </si>
  <si>
    <t>TJM</t>
  </si>
  <si>
    <t>Coût</t>
  </si>
  <si>
    <t>Explication</t>
  </si>
  <si>
    <t>Développement &amp; Data/IA (Dev/DS)</t>
  </si>
  <si>
    <t>On construit l’IA et l’intégration.</t>
  </si>
  <si>
    <t>Produit / méthode / tests (PO/SM/QA)</t>
  </si>
  <si>
    <t>On cadre, on teste et on sécurise.</t>
  </si>
  <si>
    <t>Support technique (petit forfait)</t>
  </si>
  <si>
    <t>Aide ponctuelle sur l’infra.</t>
  </si>
  <si>
    <t>Vérification RGPD &amp; sécurité</t>
  </si>
  <si>
    <t>Contrôles de base (consentement, suppression).</t>
  </si>
  <si>
    <t>Jeu de photos de test</t>
  </si>
  <si>
    <t>Photos de test pour valider les cas.</t>
  </si>
  <si>
    <t>Total investissement initial</t>
  </si>
  <si>
    <t>On vise une version utilisable en 8 semaines, avec des métriques pour mesurer l’impact.</t>
  </si>
  <si>
    <t>3) Coûts mensuels après lancement</t>
  </si>
  <si>
    <t>Hypothèse</t>
  </si>
  <si>
    <t>Coût/mois</t>
  </si>
  <si>
    <t>Stockage des images (Azure)</t>
  </si>
  <si>
    <t>500 GB × 0,02€</t>
  </si>
  <si>
    <t>Ordre de grandeur, à affiner.</t>
  </si>
  <si>
    <t>Appels IA (analyse photo)</t>
  </si>
  <si>
    <t>200k × 0,002€</t>
  </si>
  <si>
    <t>Nombre d’analyses mensuelles.</t>
  </si>
  <si>
    <t>Hébergement API</t>
  </si>
  <si>
    <t>Forfait</t>
  </si>
  <si>
    <t>Serveur pour l’API.</t>
  </si>
  <si>
    <t>Logs &amp; monitoring</t>
  </si>
  <si>
    <t>Suivi basique.</t>
  </si>
  <si>
    <t>Petite maintenance</t>
  </si>
  <si>
    <t>10 jours × 450€</t>
  </si>
  <si>
    <t>Correctifs + petites évolutions.</t>
  </si>
  <si>
    <t>Total coût mensuel</t>
  </si>
  <si>
    <t>Ce total est retiré des gains pour obtenir le bénéfice net mensuel.</t>
  </si>
  <si>
    <t>4) Rentabilité : deux scénarios</t>
  </si>
  <si>
    <t>Optimiste</t>
  </si>
  <si>
    <t>Pessimiste</t>
  </si>
  <si>
    <t>Utilisateurs actifs par mois (MAU)</t>
  </si>
  <si>
    <t>Combien de personnes utilisent vraiment l’app.</t>
  </si>
  <si>
    <t>Achats moyens par utilisateur / mois</t>
  </si>
  <si>
    <t>Ex : 0,12 = 12 achats pour 100 utilisateurs.</t>
  </si>
  <si>
    <t>Gain grâce aux recommandations (uplift)</t>
  </si>
  <si>
    <t>Ex : +10% signifie “on vend 10% de plus”.</t>
  </si>
  <si>
    <t>Panier moyen (AOV)</t>
  </si>
  <si>
    <t>Montant moyen d’une commande.</t>
  </si>
  <si>
    <t>Marge brute</t>
  </si>
  <si>
    <t>Part du CA conservée après coût des produits.</t>
  </si>
  <si>
    <t>Résultats (calculés)</t>
  </si>
  <si>
    <t>Bénéfice net / mois</t>
  </si>
  <si>
    <t>Point mort (mois)</t>
  </si>
  <si>
    <t>Interprétation</t>
  </si>
  <si>
    <t>Si c’est positif : le projet s’autofinance chaque mois dans ce scénario.</t>
  </si>
  <si>
    <t>Si c’est négatif : ce scénario ne rentabilise pas le MVP.</t>
  </si>
  <si>
    <t>On décrit un seul traitement : recommander des articles à partir d’une photo de tenue.</t>
  </si>
  <si>
    <t>En clair, qu’est‑ce qui se passe ?</t>
  </si>
  <si>
    <t>Quand l’utilisateur le souhaite, il prend une photo. L’application calcule une “signature de style” et cherche dans le catalogue les articles visuellement proches.</t>
  </si>
  <si>
    <t>Quelles données sont utilisées ?</t>
  </si>
  <si>
    <t>Photo de tenue (peut contenir un visage), identifiant utilisateur, date/heure, et feedback (utile/pas utile).</t>
  </si>
  <si>
    <t>Règles simples de conformité</t>
  </si>
  <si>
    <t>Point</t>
  </si>
  <si>
    <t>Ce qu’on met en place</t>
  </si>
  <si>
    <t>Base légale</t>
  </si>
  <si>
    <t>On demande un consentement explicite avant l’analyse. Sans consentement, rien n’est analysé.</t>
  </si>
  <si>
    <t>Minimisation</t>
  </si>
  <si>
    <t>On ne collecte pas de données inutiles. Le visage peut être flouté (option) avant stockage.</t>
  </si>
  <si>
    <t>Conservation</t>
  </si>
  <si>
    <t>Photo originale : supprimée rapidement (ex. &lt; 24h). Photo en garde‑robe : version traitée (compressée et/ou floutée) conservée jusqu’à suppression par l’utilisateur. Signature de style : 12 mois. Logs : 3 mois.</t>
  </si>
  <si>
    <t>Droits</t>
  </si>
  <si>
    <t>L’utilisateur peut supprimer ses photos et ses données, et retirer son consentement.</t>
  </si>
  <si>
    <t>Sécurité</t>
  </si>
  <si>
    <t>Chiffrement, contrôle d’accès, journalisation des accès, et environnements séparés (test / prod).</t>
  </si>
  <si>
    <t>On note chaque risque avec une probabilité et un impact (0 à 3). Criticité = probabilité × impact. On traite d’abord ce qui est le plus critique.</t>
  </si>
  <si>
    <t>Risque</t>
  </si>
  <si>
    <t>Probabilité</t>
  </si>
  <si>
    <t>Impact</t>
  </si>
  <si>
    <t>Criticité</t>
  </si>
  <si>
    <t>Action principale</t>
  </si>
  <si>
    <t>Suivi</t>
  </si>
  <si>
    <t>Retard sur le MVP (8 semaines)</t>
  </si>
  <si>
    <t>MoSCoW strict + lots petits + démo chaque sprint.</t>
  </si>
  <si>
    <t>Burndown + revue de sprint.</t>
  </si>
  <si>
    <t>Fuite de photos / données</t>
  </si>
  <si>
    <t>Chiffrement + accès restreint + suppression rapide de l’original.</t>
  </si>
  <si>
    <t>Logs d’accès + tests sécurité.</t>
  </si>
  <si>
    <t>Non‑conformité (consentement / suppression)</t>
  </si>
  <si>
    <t>Consentement clair + bouton suppression + preuve consentement.</t>
  </si>
  <si>
    <t>Recette RGPD + audits simples.</t>
  </si>
  <si>
    <t>Adoption faible (peu d’usage de la photo)</t>
  </si>
  <si>
    <t>Onboarding + guidance photo + suivi KPI + itérations UX.</t>
  </si>
  <si>
    <t>MAU + taux d’usage + feedback.</t>
  </si>
  <si>
    <t>CNIL / RGPD – résumé rapide</t>
  </si>
  <si>
    <t>Risques – résumé rapide</t>
  </si>
  <si>
    <t>Tableur principal – Budget, CNIL et risques (Fashion‑Insta)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</si>
</sst>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\ #,##0"/>
    <numFmt numFmtId="165" formatCode="0.0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0" borderId="0" xfId="0" applyFont="1"/>
    <xf numFmtId="166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1" max="1" width="35" customWidth="1"/>
    <col min="2" max="2" width="18" customWidth="1"/>
    <col min="3" max="3" width="55" customWidth="1"/>
    <col min="4" max="4" width="3" customWidth="1"/>
    <col min="5" max="5" width="28" customWidth="1"/>
    <col min="6" max="8" width="18" customWidth="1"/>
  </cols>
  <sheetData>
    <row r="1" spans="1:8" ht="21.95" customHeight="1" x14ac:dyDescent="0.35">
      <c r="A1" s="22" t="s">
        <v>125</v>
      </c>
      <c r="B1" s="15"/>
      <c r="C1" s="15"/>
      <c r="D1" s="15"/>
      <c r="E1" s="15"/>
      <c r="F1" s="15"/>
      <c r="G1" s="15"/>
      <c r="H1" s="15"/>
    </row>
    <row r="2" spans="1:8" ht="21.95" customHeight="1" x14ac:dyDescent="0.25">
      <c r="A2" s="24" t="s">
        <v>0</v>
      </c>
      <c r="B2" s="15"/>
      <c r="C2" s="15"/>
      <c r="D2" s="15"/>
      <c r="E2" s="15"/>
      <c r="F2" s="15"/>
      <c r="G2" s="15"/>
      <c r="H2" s="15"/>
    </row>
    <row r="3" spans="1:8" ht="21.95" customHeight="1" x14ac:dyDescent="0.25"/>
    <row r="4" spans="1:8" ht="21.95" customHeight="1" x14ac:dyDescent="0.25">
      <c r="A4" s="14" t="s">
        <v>1</v>
      </c>
      <c r="B4" s="15"/>
      <c r="C4" s="15"/>
      <c r="D4" s="15"/>
      <c r="E4" s="15"/>
      <c r="F4" s="15"/>
      <c r="G4" s="15"/>
      <c r="H4" s="15"/>
    </row>
    <row r="5" spans="1:8" ht="21.95" customHeight="1" x14ac:dyDescent="0.25">
      <c r="A5" s="1" t="s">
        <v>2</v>
      </c>
      <c r="B5" s="2">
        <f>E26</f>
        <v>70885</v>
      </c>
      <c r="C5" s="24" t="s">
        <v>3</v>
      </c>
      <c r="D5" s="15"/>
      <c r="E5" s="15"/>
      <c r="F5" s="15"/>
      <c r="G5" s="15"/>
      <c r="H5" s="15"/>
    </row>
    <row r="6" spans="1:8" ht="21.95" customHeight="1" x14ac:dyDescent="0.25">
      <c r="A6" s="1" t="s">
        <v>4</v>
      </c>
      <c r="B6" s="2">
        <f>E36</f>
        <v>5210</v>
      </c>
      <c r="C6" s="24" t="s">
        <v>5</v>
      </c>
      <c r="D6" s="15"/>
      <c r="E6" s="15"/>
      <c r="F6" s="15"/>
      <c r="G6" s="15"/>
      <c r="H6" s="15"/>
    </row>
    <row r="7" spans="1:8" ht="21.95" customHeight="1" x14ac:dyDescent="0.25">
      <c r="A7" s="1" t="s">
        <v>6</v>
      </c>
      <c r="B7" s="3">
        <f>B49</f>
        <v>5.177867056245435</v>
      </c>
      <c r="C7" s="24" t="s">
        <v>7</v>
      </c>
      <c r="D7" s="15"/>
      <c r="E7" s="15"/>
      <c r="F7" s="15"/>
      <c r="G7" s="15"/>
      <c r="H7" s="15"/>
    </row>
    <row r="8" spans="1:8" ht="21.95" customHeight="1" x14ac:dyDescent="0.25"/>
    <row r="9" spans="1:8" ht="21.95" customHeight="1" x14ac:dyDescent="0.25">
      <c r="A9" s="14" t="s">
        <v>8</v>
      </c>
      <c r="B9" s="15"/>
      <c r="C9" s="15"/>
      <c r="D9" s="15"/>
      <c r="E9" s="15"/>
      <c r="F9" s="15"/>
      <c r="G9" s="15"/>
      <c r="H9" s="15"/>
    </row>
    <row r="10" spans="1:8" ht="21.95" customHeight="1" x14ac:dyDescent="0.25">
      <c r="A10" s="4" t="s">
        <v>9</v>
      </c>
      <c r="B10" s="4" t="s">
        <v>10</v>
      </c>
      <c r="C10" s="16" t="s">
        <v>11</v>
      </c>
      <c r="D10" s="15"/>
      <c r="E10" s="4" t="s">
        <v>12</v>
      </c>
      <c r="F10" s="4" t="s">
        <v>10</v>
      </c>
      <c r="G10" s="15"/>
      <c r="H10" s="15"/>
    </row>
    <row r="11" spans="1:8" ht="21.95" customHeight="1" x14ac:dyDescent="0.25">
      <c r="A11" s="5" t="s">
        <v>13</v>
      </c>
      <c r="B11" s="6">
        <v>2</v>
      </c>
      <c r="C11" s="19" t="s">
        <v>14</v>
      </c>
      <c r="D11" s="15"/>
      <c r="E11" s="7" t="s">
        <v>15</v>
      </c>
      <c r="F11" s="8">
        <f>B13*(1+B14)</f>
        <v>132.25</v>
      </c>
    </row>
    <row r="12" spans="1:8" ht="21.95" customHeight="1" x14ac:dyDescent="0.25">
      <c r="A12" s="5" t="s">
        <v>16</v>
      </c>
      <c r="B12" s="6">
        <v>4</v>
      </c>
      <c r="C12" s="19" t="s">
        <v>17</v>
      </c>
      <c r="D12" s="15"/>
      <c r="E12" s="7" t="s">
        <v>18</v>
      </c>
      <c r="F12" s="8">
        <f>F11*B17</f>
        <v>26.450000000000003</v>
      </c>
    </row>
    <row r="13" spans="1:8" ht="21.95" customHeight="1" x14ac:dyDescent="0.25">
      <c r="A13" s="5" t="s">
        <v>19</v>
      </c>
      <c r="B13" s="6">
        <v>115</v>
      </c>
      <c r="C13" s="19" t="s">
        <v>20</v>
      </c>
      <c r="D13" s="15"/>
      <c r="E13" s="7" t="s">
        <v>21</v>
      </c>
      <c r="F13" s="8">
        <f>F11*(1-B17)</f>
        <v>105.80000000000001</v>
      </c>
    </row>
    <row r="14" spans="1:8" ht="21.95" customHeight="1" x14ac:dyDescent="0.25">
      <c r="A14" s="5" t="s">
        <v>22</v>
      </c>
      <c r="B14" s="9">
        <v>0.15</v>
      </c>
      <c r="C14" s="19" t="s">
        <v>23</v>
      </c>
      <c r="D14" s="15"/>
    </row>
    <row r="15" spans="1:8" ht="21.95" customHeight="1" x14ac:dyDescent="0.25">
      <c r="A15" s="5" t="s">
        <v>24</v>
      </c>
      <c r="B15" s="6">
        <v>450</v>
      </c>
      <c r="C15" s="19" t="s">
        <v>25</v>
      </c>
      <c r="D15" s="15"/>
    </row>
    <row r="16" spans="1:8" ht="21.95" customHeight="1" x14ac:dyDescent="0.25">
      <c r="A16" s="5" t="s">
        <v>26</v>
      </c>
      <c r="B16" s="6">
        <v>500</v>
      </c>
      <c r="C16" s="19" t="s">
        <v>27</v>
      </c>
      <c r="D16" s="15"/>
    </row>
    <row r="17" spans="1:8" ht="21.95" customHeight="1" x14ac:dyDescent="0.25">
      <c r="A17" s="5" t="s">
        <v>28</v>
      </c>
      <c r="B17" s="9">
        <v>0.2</v>
      </c>
      <c r="C17" s="19" t="s">
        <v>29</v>
      </c>
      <c r="D17" s="15"/>
    </row>
    <row r="18" spans="1:8" ht="21.95" customHeight="1" x14ac:dyDescent="0.25"/>
    <row r="19" spans="1:8" ht="21.95" customHeight="1" x14ac:dyDescent="0.25">
      <c r="A19" s="17" t="s">
        <v>30</v>
      </c>
      <c r="B19" s="15"/>
      <c r="C19" s="15"/>
      <c r="D19" s="15"/>
      <c r="E19" s="15"/>
      <c r="F19" s="15"/>
      <c r="G19" s="15"/>
      <c r="H19" s="15"/>
    </row>
    <row r="20" spans="1:8" ht="21.95" customHeight="1" x14ac:dyDescent="0.25">
      <c r="A20" s="4" t="s">
        <v>31</v>
      </c>
      <c r="B20" s="4" t="s">
        <v>32</v>
      </c>
      <c r="C20" s="16" t="s">
        <v>33</v>
      </c>
      <c r="D20" s="15"/>
      <c r="E20" s="4" t="s">
        <v>34</v>
      </c>
      <c r="F20" s="16" t="s">
        <v>35</v>
      </c>
      <c r="G20" s="15"/>
      <c r="H20" s="15"/>
    </row>
    <row r="21" spans="1:8" ht="39.950000000000003" customHeight="1" x14ac:dyDescent="0.25">
      <c r="A21" s="5" t="s">
        <v>36</v>
      </c>
      <c r="B21" s="10">
        <f>F13</f>
        <v>105.80000000000001</v>
      </c>
      <c r="C21" s="18">
        <f>B15</f>
        <v>450</v>
      </c>
      <c r="D21" s="15"/>
      <c r="E21" s="11">
        <f>B21*C21</f>
        <v>47610.000000000007</v>
      </c>
      <c r="F21" s="19" t="s">
        <v>37</v>
      </c>
      <c r="G21" s="15"/>
      <c r="H21" s="15"/>
    </row>
    <row r="22" spans="1:8" ht="39.950000000000003" customHeight="1" x14ac:dyDescent="0.25">
      <c r="A22" s="5" t="s">
        <v>38</v>
      </c>
      <c r="B22" s="10">
        <f>F12</f>
        <v>26.450000000000003</v>
      </c>
      <c r="C22" s="18">
        <f>B16</f>
        <v>500</v>
      </c>
      <c r="D22" s="15"/>
      <c r="E22" s="11">
        <f>B22*C22</f>
        <v>13225.000000000002</v>
      </c>
      <c r="F22" s="19" t="s">
        <v>39</v>
      </c>
      <c r="G22" s="15"/>
      <c r="H22" s="15"/>
    </row>
    <row r="23" spans="1:8" ht="39.950000000000003" customHeight="1" x14ac:dyDescent="0.25">
      <c r="A23" s="5" t="s">
        <v>40</v>
      </c>
      <c r="B23" s="10">
        <v>10</v>
      </c>
      <c r="C23" s="18">
        <v>600</v>
      </c>
      <c r="D23" s="15"/>
      <c r="E23" s="11">
        <f>B23*C23</f>
        <v>6000</v>
      </c>
      <c r="F23" s="19" t="s">
        <v>41</v>
      </c>
      <c r="G23" s="15"/>
      <c r="H23" s="15"/>
    </row>
    <row r="24" spans="1:8" ht="39.950000000000003" customHeight="1" x14ac:dyDescent="0.25">
      <c r="A24" s="5" t="s">
        <v>42</v>
      </c>
      <c r="B24" s="10">
        <v>3</v>
      </c>
      <c r="C24" s="18">
        <v>600</v>
      </c>
      <c r="D24" s="15"/>
      <c r="E24" s="11">
        <f>B24*C24</f>
        <v>1800</v>
      </c>
      <c r="F24" s="19" t="s">
        <v>43</v>
      </c>
      <c r="G24" s="15"/>
      <c r="H24" s="15"/>
    </row>
    <row r="25" spans="1:8" ht="39.950000000000003" customHeight="1" x14ac:dyDescent="0.25">
      <c r="A25" s="5" t="s">
        <v>44</v>
      </c>
      <c r="B25" s="10">
        <v>5</v>
      </c>
      <c r="C25" s="18">
        <v>450</v>
      </c>
      <c r="D25" s="15"/>
      <c r="E25" s="11">
        <f>B25*C25</f>
        <v>2250</v>
      </c>
      <c r="F25" s="19" t="s">
        <v>45</v>
      </c>
      <c r="G25" s="15"/>
      <c r="H25" s="15"/>
    </row>
    <row r="26" spans="1:8" ht="21.95" customHeight="1" x14ac:dyDescent="0.25">
      <c r="A26" s="17" t="s">
        <v>46</v>
      </c>
      <c r="B26" s="15"/>
      <c r="C26" s="15"/>
      <c r="D26" s="15"/>
      <c r="E26" s="12">
        <f>SUM(E21:E25)</f>
        <v>70885</v>
      </c>
      <c r="F26" s="19" t="s">
        <v>47</v>
      </c>
      <c r="G26" s="15"/>
      <c r="H26" s="15"/>
    </row>
    <row r="27" spans="1:8" ht="21.95" customHeight="1" x14ac:dyDescent="0.25"/>
    <row r="28" spans="1:8" ht="21.95" customHeight="1" x14ac:dyDescent="0.25"/>
    <row r="29" spans="1:8" ht="21.95" customHeight="1" x14ac:dyDescent="0.25">
      <c r="A29" s="17" t="s">
        <v>48</v>
      </c>
      <c r="B29" s="15"/>
      <c r="C29" s="15"/>
      <c r="D29" s="15"/>
      <c r="E29" s="15"/>
      <c r="F29" s="15"/>
      <c r="G29" s="15"/>
      <c r="H29" s="15"/>
    </row>
    <row r="30" spans="1:8" ht="21.95" customHeight="1" x14ac:dyDescent="0.25">
      <c r="A30" s="4" t="s">
        <v>31</v>
      </c>
      <c r="B30" s="16" t="s">
        <v>49</v>
      </c>
      <c r="C30" s="15"/>
      <c r="D30" s="15"/>
      <c r="E30" s="4" t="s">
        <v>50</v>
      </c>
      <c r="F30" s="16" t="s">
        <v>35</v>
      </c>
      <c r="G30" s="15"/>
      <c r="H30" s="15"/>
    </row>
    <row r="31" spans="1:8" ht="33.950000000000003" customHeight="1" x14ac:dyDescent="0.25">
      <c r="A31" s="5" t="s">
        <v>51</v>
      </c>
      <c r="B31" s="19" t="s">
        <v>52</v>
      </c>
      <c r="C31" s="15"/>
      <c r="D31" s="15"/>
      <c r="E31" s="11">
        <f>500*0.02</f>
        <v>10</v>
      </c>
      <c r="F31" s="19" t="s">
        <v>53</v>
      </c>
      <c r="G31" s="15"/>
      <c r="H31" s="15"/>
    </row>
    <row r="32" spans="1:8" ht="33.950000000000003" customHeight="1" x14ac:dyDescent="0.25">
      <c r="A32" s="5" t="s">
        <v>54</v>
      </c>
      <c r="B32" s="19" t="s">
        <v>55</v>
      </c>
      <c r="C32" s="15"/>
      <c r="D32" s="15"/>
      <c r="E32" s="11">
        <f>200000*0.002</f>
        <v>400</v>
      </c>
      <c r="F32" s="19" t="s">
        <v>56</v>
      </c>
      <c r="G32" s="15"/>
      <c r="H32" s="15"/>
    </row>
    <row r="33" spans="1:8" ht="33.950000000000003" customHeight="1" x14ac:dyDescent="0.25">
      <c r="A33" s="5" t="s">
        <v>57</v>
      </c>
      <c r="B33" s="19" t="s">
        <v>58</v>
      </c>
      <c r="C33" s="15"/>
      <c r="D33" s="15"/>
      <c r="E33" s="11">
        <f>200</f>
        <v>200</v>
      </c>
      <c r="F33" s="19" t="s">
        <v>59</v>
      </c>
      <c r="G33" s="15"/>
      <c r="H33" s="15"/>
    </row>
    <row r="34" spans="1:8" ht="33.950000000000003" customHeight="1" x14ac:dyDescent="0.25">
      <c r="A34" s="5" t="s">
        <v>60</v>
      </c>
      <c r="B34" s="19" t="s">
        <v>58</v>
      </c>
      <c r="C34" s="15"/>
      <c r="D34" s="15"/>
      <c r="E34" s="11">
        <f>100</f>
        <v>100</v>
      </c>
      <c r="F34" s="19" t="s">
        <v>61</v>
      </c>
      <c r="G34" s="15"/>
      <c r="H34" s="15"/>
    </row>
    <row r="35" spans="1:8" ht="33.950000000000003" customHeight="1" x14ac:dyDescent="0.25">
      <c r="A35" s="5" t="s">
        <v>62</v>
      </c>
      <c r="B35" s="19" t="s">
        <v>63</v>
      </c>
      <c r="C35" s="15"/>
      <c r="D35" s="15"/>
      <c r="E35" s="11">
        <f>10*450</f>
        <v>4500</v>
      </c>
      <c r="F35" s="19" t="s">
        <v>64</v>
      </c>
      <c r="G35" s="15"/>
      <c r="H35" s="15"/>
    </row>
    <row r="36" spans="1:8" ht="21.95" customHeight="1" x14ac:dyDescent="0.25">
      <c r="A36" s="17" t="s">
        <v>65</v>
      </c>
      <c r="B36" s="15"/>
      <c r="C36" s="15"/>
      <c r="D36" s="15"/>
      <c r="E36" s="12">
        <f>SUM(E31:E35)</f>
        <v>5210</v>
      </c>
      <c r="F36" s="19" t="s">
        <v>66</v>
      </c>
      <c r="G36" s="15"/>
      <c r="H36" s="15"/>
    </row>
    <row r="37" spans="1:8" ht="21.95" customHeight="1" x14ac:dyDescent="0.25"/>
    <row r="38" spans="1:8" ht="21.95" customHeight="1" x14ac:dyDescent="0.25"/>
    <row r="39" spans="1:8" ht="21.95" customHeight="1" x14ac:dyDescent="0.25">
      <c r="A39" s="17" t="s">
        <v>67</v>
      </c>
      <c r="B39" s="15"/>
      <c r="C39" s="15"/>
      <c r="D39" s="15"/>
      <c r="E39" s="15"/>
      <c r="F39" s="15"/>
      <c r="G39" s="15"/>
      <c r="H39" s="15"/>
    </row>
    <row r="40" spans="1:8" ht="21.95" customHeight="1" x14ac:dyDescent="0.25">
      <c r="A40" s="4" t="s">
        <v>9</v>
      </c>
      <c r="B40" s="4" t="s">
        <v>68</v>
      </c>
      <c r="C40" s="16" t="s">
        <v>69</v>
      </c>
      <c r="D40" s="15"/>
      <c r="E40" s="15"/>
      <c r="F40" s="16" t="s">
        <v>35</v>
      </c>
      <c r="G40" s="15"/>
      <c r="H40" s="15"/>
    </row>
    <row r="41" spans="1:8" ht="36" customHeight="1" x14ac:dyDescent="0.25">
      <c r="A41" s="5" t="s">
        <v>70</v>
      </c>
      <c r="B41" s="6">
        <v>50000</v>
      </c>
      <c r="C41" s="20">
        <v>20000</v>
      </c>
      <c r="D41" s="15"/>
      <c r="E41" s="15"/>
      <c r="F41" s="19" t="s">
        <v>71</v>
      </c>
      <c r="G41" s="15"/>
      <c r="H41" s="15"/>
    </row>
    <row r="42" spans="1:8" ht="36" customHeight="1" x14ac:dyDescent="0.25">
      <c r="A42" s="5" t="s">
        <v>72</v>
      </c>
      <c r="B42" s="9">
        <v>0.12</v>
      </c>
      <c r="C42" s="23">
        <v>0.08</v>
      </c>
      <c r="D42" s="15"/>
      <c r="E42" s="15"/>
      <c r="F42" s="19" t="s">
        <v>73</v>
      </c>
      <c r="G42" s="15"/>
      <c r="H42" s="15"/>
    </row>
    <row r="43" spans="1:8" ht="36" customHeight="1" x14ac:dyDescent="0.25">
      <c r="A43" s="5" t="s">
        <v>74</v>
      </c>
      <c r="B43" s="9">
        <v>0.1</v>
      </c>
      <c r="C43" s="23">
        <v>1.4999999999999999E-2</v>
      </c>
      <c r="D43" s="15"/>
      <c r="E43" s="15"/>
      <c r="F43" s="19" t="s">
        <v>75</v>
      </c>
      <c r="G43" s="15"/>
      <c r="H43" s="15"/>
    </row>
    <row r="44" spans="1:8" ht="36" customHeight="1" x14ac:dyDescent="0.25">
      <c r="A44" s="5" t="s">
        <v>76</v>
      </c>
      <c r="B44" s="11">
        <v>70</v>
      </c>
      <c r="C44" s="21">
        <v>60</v>
      </c>
      <c r="D44" s="15"/>
      <c r="E44" s="15"/>
      <c r="F44" s="19" t="s">
        <v>77</v>
      </c>
      <c r="G44" s="15"/>
      <c r="H44" s="15"/>
    </row>
    <row r="45" spans="1:8" ht="36" customHeight="1" x14ac:dyDescent="0.25">
      <c r="A45" s="5" t="s">
        <v>78</v>
      </c>
      <c r="B45" s="9">
        <v>0.45</v>
      </c>
      <c r="C45" s="23">
        <v>0.4</v>
      </c>
      <c r="D45" s="15"/>
      <c r="E45" s="15"/>
      <c r="F45" s="19" t="s">
        <v>79</v>
      </c>
      <c r="G45" s="15"/>
      <c r="H45" s="15"/>
    </row>
    <row r="46" spans="1:8" ht="21.95" customHeight="1" x14ac:dyDescent="0.25"/>
    <row r="47" spans="1:8" ht="21.95" customHeight="1" x14ac:dyDescent="0.25">
      <c r="A47" s="17" t="s">
        <v>80</v>
      </c>
      <c r="B47" s="15"/>
      <c r="C47" s="15"/>
      <c r="D47" s="15"/>
      <c r="E47" s="15"/>
      <c r="F47" s="15"/>
      <c r="G47" s="15"/>
      <c r="H47" s="15"/>
    </row>
    <row r="48" spans="1:8" ht="21.95" customHeight="1" x14ac:dyDescent="0.25">
      <c r="A48" s="7" t="s">
        <v>81</v>
      </c>
      <c r="B48" s="11">
        <f>(B41*B42*B43*B44*B45)-$E$36</f>
        <v>13690</v>
      </c>
      <c r="C48" s="21">
        <f>(C41*C42*C43*C44*C45)-$E$36</f>
        <v>-4634</v>
      </c>
      <c r="D48" s="15"/>
      <c r="E48" s="15"/>
    </row>
    <row r="49" spans="1:8" ht="21.95" customHeight="1" x14ac:dyDescent="0.25">
      <c r="A49" s="7" t="s">
        <v>82</v>
      </c>
      <c r="B49" s="8">
        <f>IF(B48&lt;=0,"n/a",$E$26/B48)</f>
        <v>5.177867056245435</v>
      </c>
      <c r="C49" s="25" t="str">
        <f>IF(C48&lt;=0,"n/a",$E$26/C48)</f>
        <v>n/a</v>
      </c>
      <c r="D49" s="15"/>
      <c r="E49" s="15"/>
    </row>
    <row r="50" spans="1:8" ht="44.1" customHeight="1" x14ac:dyDescent="0.25">
      <c r="A50" s="7" t="s">
        <v>83</v>
      </c>
      <c r="B50" s="19" t="s">
        <v>84</v>
      </c>
      <c r="C50" s="15"/>
      <c r="D50" s="15"/>
      <c r="E50" s="15"/>
      <c r="F50" s="19" t="s">
        <v>85</v>
      </c>
      <c r="G50" s="15"/>
      <c r="H50" s="15"/>
    </row>
    <row r="51" spans="1:8" ht="21.95" customHeight="1" x14ac:dyDescent="0.25"/>
    <row r="52" spans="1:8" ht="21.95" customHeight="1" x14ac:dyDescent="0.25"/>
    <row r="53" spans="1:8" ht="21.95" customHeight="1" x14ac:dyDescent="0.25"/>
    <row r="54" spans="1:8" ht="21.95" customHeight="1" x14ac:dyDescent="0.25"/>
    <row r="55" spans="1:8" ht="21.95" customHeight="1" x14ac:dyDescent="0.25"/>
    <row r="56" spans="1:8" ht="21.95" customHeight="1" x14ac:dyDescent="0.25"/>
    <row r="57" spans="1:8" ht="21.95" customHeight="1" x14ac:dyDescent="0.25"/>
    <row r="58" spans="1:8" ht="21.95" customHeight="1" x14ac:dyDescent="0.25"/>
    <row r="59" spans="1:8" ht="21.95" customHeight="1" x14ac:dyDescent="0.25"/>
  </sheetData>
  <mergeCells count="64">
    <mergeCell ref="A2:H2"/>
    <mergeCell ref="B32:D32"/>
    <mergeCell ref="B35:D35"/>
    <mergeCell ref="C49:E49"/>
    <mergeCell ref="A47:H47"/>
    <mergeCell ref="F44:H44"/>
    <mergeCell ref="C17:D17"/>
    <mergeCell ref="C23:D23"/>
    <mergeCell ref="F25:H25"/>
    <mergeCell ref="F34:H34"/>
    <mergeCell ref="A4:H4"/>
    <mergeCell ref="C6:H6"/>
    <mergeCell ref="C42:E42"/>
    <mergeCell ref="A29:H29"/>
    <mergeCell ref="B31:D31"/>
    <mergeCell ref="C5:H5"/>
    <mergeCell ref="C7:H7"/>
    <mergeCell ref="A36:D36"/>
    <mergeCell ref="B33:D33"/>
    <mergeCell ref="C12:D12"/>
    <mergeCell ref="C21:D21"/>
    <mergeCell ref="C11:D11"/>
    <mergeCell ref="A26:D26"/>
    <mergeCell ref="A19:H19"/>
    <mergeCell ref="C13:D13"/>
    <mergeCell ref="F30:H30"/>
    <mergeCell ref="F21:H21"/>
    <mergeCell ref="F24:H24"/>
    <mergeCell ref="F50:H50"/>
    <mergeCell ref="A1:H1"/>
    <mergeCell ref="C43:E43"/>
    <mergeCell ref="B34:D34"/>
    <mergeCell ref="F23:H23"/>
    <mergeCell ref="C20:D20"/>
    <mergeCell ref="C10:D10"/>
    <mergeCell ref="C16:D16"/>
    <mergeCell ref="F22:H22"/>
    <mergeCell ref="B50:E50"/>
    <mergeCell ref="F31:H31"/>
    <mergeCell ref="C25:D25"/>
    <mergeCell ref="G10:H10"/>
    <mergeCell ref="F43:H43"/>
    <mergeCell ref="C48:E48"/>
    <mergeCell ref="C22:D22"/>
    <mergeCell ref="C44:E44"/>
    <mergeCell ref="F45:H45"/>
    <mergeCell ref="F32:H32"/>
    <mergeCell ref="F35:H35"/>
    <mergeCell ref="C40:E40"/>
    <mergeCell ref="C45:E45"/>
    <mergeCell ref="F40:H40"/>
    <mergeCell ref="C41:E41"/>
    <mergeCell ref="C15:D15"/>
    <mergeCell ref="F33:H33"/>
    <mergeCell ref="F42:H42"/>
    <mergeCell ref="F41:H41"/>
    <mergeCell ref="F26:H26"/>
    <mergeCell ref="B30:D30"/>
    <mergeCell ref="A9:H9"/>
    <mergeCell ref="F20:H20"/>
    <mergeCell ref="A39:H39"/>
    <mergeCell ref="C24:D24"/>
    <mergeCell ref="F36:H36"/>
    <mergeCell ref="C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sqref="A1:H1"/>
    </sheetView>
  </sheetViews>
  <sheetFormatPr baseColWidth="10" defaultColWidth="9.140625" defaultRowHeight="15" x14ac:dyDescent="0.25"/>
  <cols>
    <col min="1" max="1" width="28" customWidth="1"/>
    <col min="2" max="2" width="85" customWidth="1"/>
    <col min="3" max="8" width="12" customWidth="1"/>
  </cols>
  <sheetData>
    <row r="1" spans="1:8" ht="21" x14ac:dyDescent="0.35">
      <c r="A1" s="22" t="s">
        <v>123</v>
      </c>
      <c r="B1" s="15"/>
      <c r="C1" s="15"/>
      <c r="D1" s="15"/>
      <c r="E1" s="15"/>
      <c r="F1" s="15"/>
      <c r="G1" s="15"/>
      <c r="H1" s="15"/>
    </row>
    <row r="2" spans="1:8" x14ac:dyDescent="0.25">
      <c r="A2" s="24" t="s">
        <v>86</v>
      </c>
      <c r="B2" s="15"/>
      <c r="C2" s="15"/>
      <c r="D2" s="15"/>
      <c r="E2" s="15"/>
      <c r="F2" s="15"/>
      <c r="G2" s="15"/>
      <c r="H2" s="15"/>
    </row>
    <row r="4" spans="1:8" x14ac:dyDescent="0.25">
      <c r="A4" s="14" t="s">
        <v>87</v>
      </c>
      <c r="B4" s="15"/>
      <c r="C4" s="15"/>
      <c r="D4" s="15"/>
      <c r="E4" s="15"/>
      <c r="F4" s="15"/>
      <c r="G4" s="15"/>
      <c r="H4" s="15"/>
    </row>
    <row r="5" spans="1:8" x14ac:dyDescent="0.25">
      <c r="A5" s="24" t="s">
        <v>88</v>
      </c>
      <c r="B5" s="15"/>
      <c r="C5" s="15"/>
      <c r="D5" s="15"/>
      <c r="E5" s="15"/>
      <c r="F5" s="15"/>
      <c r="G5" s="15"/>
      <c r="H5" s="15"/>
    </row>
    <row r="6" spans="1:8" x14ac:dyDescent="0.25">
      <c r="A6" s="15"/>
      <c r="B6" s="15"/>
      <c r="C6" s="15"/>
      <c r="D6" s="15"/>
      <c r="E6" s="15"/>
      <c r="F6" s="15"/>
      <c r="G6" s="15"/>
      <c r="H6" s="15"/>
    </row>
    <row r="8" spans="1:8" x14ac:dyDescent="0.25">
      <c r="A8" s="14" t="s">
        <v>89</v>
      </c>
      <c r="B8" s="15"/>
      <c r="C8" s="15"/>
      <c r="D8" s="15"/>
      <c r="E8" s="15"/>
      <c r="F8" s="15"/>
      <c r="G8" s="15"/>
      <c r="H8" s="15"/>
    </row>
    <row r="9" spans="1:8" x14ac:dyDescent="0.25">
      <c r="A9" s="24" t="s">
        <v>90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  <row r="12" spans="1:8" x14ac:dyDescent="0.25">
      <c r="A12" s="14" t="s">
        <v>91</v>
      </c>
      <c r="B12" s="15"/>
      <c r="C12" s="15"/>
      <c r="D12" s="15"/>
      <c r="E12" s="15"/>
      <c r="F12" s="15"/>
      <c r="G12" s="15"/>
      <c r="H12" s="15"/>
    </row>
    <row r="13" spans="1:8" x14ac:dyDescent="0.25">
      <c r="A13" s="13" t="s">
        <v>92</v>
      </c>
      <c r="B13" s="27" t="s">
        <v>93</v>
      </c>
      <c r="C13" s="15"/>
      <c r="D13" s="15"/>
      <c r="E13" s="15"/>
      <c r="F13" s="15"/>
      <c r="G13" s="15"/>
      <c r="H13" s="15"/>
    </row>
    <row r="14" spans="1:8" ht="54.95" customHeight="1" x14ac:dyDescent="0.25">
      <c r="A14" s="7" t="s">
        <v>94</v>
      </c>
      <c r="B14" s="19" t="s">
        <v>95</v>
      </c>
      <c r="C14" s="26"/>
      <c r="D14" s="26"/>
      <c r="E14" s="26"/>
      <c r="F14" s="26"/>
      <c r="G14" s="26"/>
      <c r="H14" s="26"/>
    </row>
    <row r="15" spans="1:8" ht="54.95" customHeight="1" x14ac:dyDescent="0.25">
      <c r="A15" s="7" t="s">
        <v>96</v>
      </c>
      <c r="B15" s="19" t="s">
        <v>97</v>
      </c>
      <c r="C15" s="26"/>
      <c r="D15" s="26"/>
      <c r="E15" s="26"/>
      <c r="F15" s="26"/>
      <c r="G15" s="26"/>
      <c r="H15" s="26"/>
    </row>
    <row r="16" spans="1:8" ht="54.95" customHeight="1" x14ac:dyDescent="0.25">
      <c r="A16" s="7" t="s">
        <v>98</v>
      </c>
      <c r="B16" s="19" t="s">
        <v>99</v>
      </c>
      <c r="C16" s="26"/>
      <c r="D16" s="26"/>
      <c r="E16" s="26"/>
      <c r="F16" s="26"/>
      <c r="G16" s="26"/>
      <c r="H16" s="26"/>
    </row>
    <row r="17" spans="1:8" ht="54.95" customHeight="1" x14ac:dyDescent="0.25">
      <c r="A17" s="7" t="s">
        <v>100</v>
      </c>
      <c r="B17" s="19" t="s">
        <v>101</v>
      </c>
      <c r="C17" s="26"/>
      <c r="D17" s="26"/>
      <c r="E17" s="26"/>
      <c r="F17" s="26"/>
      <c r="G17" s="26"/>
      <c r="H17" s="26"/>
    </row>
    <row r="18" spans="1:8" ht="54.95" customHeight="1" x14ac:dyDescent="0.25">
      <c r="A18" s="7" t="s">
        <v>102</v>
      </c>
      <c r="B18" s="19" t="s">
        <v>103</v>
      </c>
      <c r="C18" s="26"/>
      <c r="D18" s="26"/>
      <c r="E18" s="26"/>
      <c r="F18" s="26"/>
      <c r="G18" s="26"/>
      <c r="H18" s="26"/>
    </row>
  </sheetData>
  <mergeCells count="13">
    <mergeCell ref="A1:H1"/>
    <mergeCell ref="A5:H6"/>
    <mergeCell ref="A8:H8"/>
    <mergeCell ref="B18:H18"/>
    <mergeCell ref="B13:H13"/>
    <mergeCell ref="A2:H2"/>
    <mergeCell ref="B16:H16"/>
    <mergeCell ref="B15:H15"/>
    <mergeCell ref="A12:H12"/>
    <mergeCell ref="A4:H4"/>
    <mergeCell ref="B14:H14"/>
    <mergeCell ref="A9:H10"/>
    <mergeCell ref="B17: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sqref="A1:F1"/>
    </sheetView>
  </sheetViews>
  <sheetFormatPr baseColWidth="10" defaultColWidth="9.140625" defaultRowHeight="15" x14ac:dyDescent="0.25"/>
  <cols>
    <col min="1" max="1" width="28" customWidth="1"/>
    <col min="2" max="2" width="16" customWidth="1"/>
    <col min="3" max="4" width="12" customWidth="1"/>
    <col min="5" max="6" width="42" customWidth="1"/>
  </cols>
  <sheetData>
    <row r="1" spans="1:6" ht="21" x14ac:dyDescent="0.35">
      <c r="A1" s="22" t="s">
        <v>124</v>
      </c>
      <c r="B1" s="15"/>
      <c r="C1" s="15"/>
      <c r="D1" s="15"/>
      <c r="E1" s="15"/>
      <c r="F1" s="15"/>
    </row>
    <row r="2" spans="1:6" x14ac:dyDescent="0.25">
      <c r="A2" s="24" t="s">
        <v>104</v>
      </c>
      <c r="B2" s="15"/>
      <c r="C2" s="15"/>
      <c r="D2" s="15"/>
      <c r="E2" s="15"/>
      <c r="F2" s="15"/>
    </row>
    <row r="3" spans="1:6" x14ac:dyDescent="0.25">
      <c r="A3" s="15"/>
      <c r="B3" s="15"/>
      <c r="C3" s="15"/>
      <c r="D3" s="15"/>
      <c r="E3" s="15"/>
      <c r="F3" s="15"/>
    </row>
    <row r="5" spans="1:6" x14ac:dyDescent="0.25">
      <c r="A5" s="4" t="s">
        <v>105</v>
      </c>
      <c r="B5" s="4" t="s">
        <v>106</v>
      </c>
      <c r="C5" s="4" t="s">
        <v>107</v>
      </c>
      <c r="D5" s="4" t="s">
        <v>108</v>
      </c>
      <c r="E5" s="4" t="s">
        <v>109</v>
      </c>
      <c r="F5" s="4" t="s">
        <v>110</v>
      </c>
    </row>
    <row r="6" spans="1:6" ht="56.1" customHeight="1" x14ac:dyDescent="0.25">
      <c r="A6" s="5" t="s">
        <v>111</v>
      </c>
      <c r="B6" s="10">
        <v>2</v>
      </c>
      <c r="C6" s="10">
        <v>3</v>
      </c>
      <c r="D6" s="10">
        <f>B6*C6</f>
        <v>6</v>
      </c>
      <c r="E6" s="5" t="s">
        <v>112</v>
      </c>
      <c r="F6" s="5" t="s">
        <v>113</v>
      </c>
    </row>
    <row r="7" spans="1:6" ht="56.1" customHeight="1" x14ac:dyDescent="0.25">
      <c r="A7" s="5" t="s">
        <v>114</v>
      </c>
      <c r="B7" s="10">
        <v>2</v>
      </c>
      <c r="C7" s="10">
        <v>3</v>
      </c>
      <c r="D7" s="10">
        <f>B7*C7</f>
        <v>6</v>
      </c>
      <c r="E7" s="5" t="s">
        <v>115</v>
      </c>
      <c r="F7" s="5" t="s">
        <v>116</v>
      </c>
    </row>
    <row r="8" spans="1:6" ht="56.1" customHeight="1" x14ac:dyDescent="0.25">
      <c r="A8" s="5" t="s">
        <v>117</v>
      </c>
      <c r="B8" s="10">
        <v>2</v>
      </c>
      <c r="C8" s="10">
        <v>3</v>
      </c>
      <c r="D8" s="10">
        <f>B8*C8</f>
        <v>6</v>
      </c>
      <c r="E8" s="5" t="s">
        <v>118</v>
      </c>
      <c r="F8" s="5" t="s">
        <v>119</v>
      </c>
    </row>
    <row r="9" spans="1:6" ht="56.1" customHeight="1" x14ac:dyDescent="0.25">
      <c r="A9" s="5" t="s">
        <v>120</v>
      </c>
      <c r="B9" s="10">
        <v>2</v>
      </c>
      <c r="C9" s="10">
        <v>3</v>
      </c>
      <c r="D9" s="10">
        <f>B9*C9</f>
        <v>6</v>
      </c>
      <c r="E9" s="5" t="s">
        <v>121</v>
      </c>
      <c r="F9" s="5" t="s">
        <v>122</v>
      </c>
    </row>
  </sheetData>
  <mergeCells count="2">
    <mergeCell ref="A2:F3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Budget &amp; ROI</vt:lpstr>
      <vt:lpstr>CNIL</vt:lpstr>
      <vt:lpstr>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A</cp:lastModifiedBy>
  <dcterms:modified xsi:type="dcterms:W3CDTF">2026-03-07T04:19:34Z</dcterms:modified>
</cp:coreProperties>
</file>